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STATISTICS/Assessment/"/>
    </mc:Choice>
  </mc:AlternateContent>
  <xr:revisionPtr revIDLastSave="0" documentId="13_ncr:1_{42A9B58C-98AF-6C44-AFA2-1599C1E1821E}" xr6:coauthVersionLast="47" xr6:coauthVersionMax="47" xr10:uidLastSave="{00000000-0000-0000-0000-000000000000}"/>
  <bookViews>
    <workbookView xWindow="0" yWindow="500" windowWidth="33600" windowHeight="18980" xr2:uid="{65B5C15B-AE96-034C-AD95-96C4BD089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C39" i="1"/>
  <c r="C35" i="1"/>
  <c r="E27" i="1"/>
  <c r="E26" i="1"/>
  <c r="D27" i="1"/>
  <c r="D26" i="1"/>
</calcChain>
</file>

<file path=xl/sharedStrings.xml><?xml version="1.0" encoding="utf-8"?>
<sst xmlns="http://schemas.openxmlformats.org/spreadsheetml/2006/main" count="57" uniqueCount="41">
  <si>
    <t>Question 1</t>
  </si>
  <si>
    <t>Given</t>
  </si>
  <si>
    <t>x1</t>
  </si>
  <si>
    <t>s1</t>
  </si>
  <si>
    <t>n1</t>
  </si>
  <si>
    <t>x2</t>
  </si>
  <si>
    <t>s2</t>
  </si>
  <si>
    <t>n2</t>
  </si>
  <si>
    <t>SE</t>
  </si>
  <si>
    <t>T-STAT</t>
  </si>
  <si>
    <t>DOF</t>
  </si>
  <si>
    <t>T-CRIT</t>
  </si>
  <si>
    <t>ALPHA</t>
  </si>
  <si>
    <t>P-Value</t>
  </si>
  <si>
    <t>T-Stat</t>
  </si>
  <si>
    <t>t-Crit</t>
  </si>
  <si>
    <t>Alpha</t>
  </si>
  <si>
    <t>&gt;</t>
  </si>
  <si>
    <t>&lt;</t>
  </si>
  <si>
    <t>Conclusion</t>
  </si>
  <si>
    <r>
      <t xml:space="preserve">Since the calculated </t>
    </r>
    <r>
      <rPr>
        <b/>
        <sz val="12"/>
        <color theme="1"/>
        <rFont val="Calibri"/>
        <family val="2"/>
        <scheme val="minor"/>
      </rPr>
      <t>t-statistic (7.018)</t>
    </r>
    <r>
      <rPr>
        <sz val="12"/>
        <color theme="1"/>
        <rFont val="Calibri"/>
        <family val="2"/>
        <scheme val="minor"/>
      </rPr>
      <t xml:space="preserve"> is </t>
    </r>
    <r>
      <rPr>
        <b/>
        <sz val="12"/>
        <color theme="1"/>
        <rFont val="Calibri"/>
        <family val="2"/>
        <scheme val="minor"/>
      </rPr>
      <t>greater</t>
    </r>
    <r>
      <rPr>
        <sz val="12"/>
        <color theme="1"/>
        <rFont val="Calibri"/>
        <family val="2"/>
        <scheme val="minor"/>
      </rPr>
      <t xml:space="preserve"> than the </t>
    </r>
    <r>
      <rPr>
        <b/>
        <sz val="12"/>
        <color theme="1"/>
        <rFont val="Calibri"/>
        <family val="2"/>
        <scheme val="minor"/>
      </rPr>
      <t>t-critical value (1.974)</t>
    </r>
    <r>
      <rPr>
        <sz val="12"/>
        <color theme="1"/>
        <rFont val="Calibri"/>
        <family val="2"/>
        <scheme val="minor"/>
      </rPr>
      <t xml:space="preserve">, and the </t>
    </r>
    <r>
      <rPr>
        <b/>
        <sz val="12"/>
        <color theme="1"/>
        <rFont val="Calibri"/>
        <family val="2"/>
        <scheme val="minor"/>
      </rPr>
      <t>p-value (≈ 0.00000000005)</t>
    </r>
    <r>
      <rPr>
        <sz val="12"/>
        <color theme="1"/>
        <rFont val="Calibri"/>
        <family val="2"/>
        <scheme val="minor"/>
      </rPr>
      <t xml:space="preserve"> is </t>
    </r>
    <r>
      <rPr>
        <b/>
        <sz val="12"/>
        <color theme="1"/>
        <rFont val="Calibri"/>
        <family val="2"/>
        <scheme val="minor"/>
      </rPr>
      <t>less than the significance level (α = 0.05)</t>
    </r>
    <r>
      <rPr>
        <sz val="12"/>
        <color theme="1"/>
        <rFont val="Calibri"/>
        <family val="2"/>
        <scheme val="minor"/>
      </rPr>
      <t xml:space="preserve">, we </t>
    </r>
    <r>
      <rPr>
        <b/>
        <sz val="12"/>
        <color theme="1"/>
        <rFont val="Calibri"/>
        <family val="2"/>
        <scheme val="minor"/>
      </rPr>
      <t>reject the null hypothesis</t>
    </r>
    <r>
      <rPr>
        <sz val="12"/>
        <color theme="1"/>
        <rFont val="Calibri"/>
        <family val="2"/>
        <scheme val="minor"/>
      </rPr>
      <t>.</t>
    </r>
  </si>
  <si>
    <r>
      <t xml:space="preserve">Therefore, we conclude that there is a </t>
    </r>
    <r>
      <rPr>
        <b/>
        <sz val="12"/>
        <color theme="1"/>
        <rFont val="Calibri"/>
        <family val="2"/>
        <scheme val="minor"/>
      </rPr>
      <t>statistically significant difference</t>
    </r>
    <r>
      <rPr>
        <sz val="12"/>
        <color theme="1"/>
        <rFont val="Calibri"/>
        <family val="2"/>
        <scheme val="minor"/>
      </rPr>
      <t xml:space="preserve"> in intelligence scores between boys and girls.</t>
    </r>
  </si>
  <si>
    <t>Hypothesis</t>
  </si>
  <si>
    <t>u1=u2</t>
  </si>
  <si>
    <t>Null Hypo</t>
  </si>
  <si>
    <t>Alternative</t>
  </si>
  <si>
    <t>u1#u2</t>
  </si>
  <si>
    <t>Question. 2</t>
  </si>
  <si>
    <t>Category</t>
  </si>
  <si>
    <t>Cancer</t>
  </si>
  <si>
    <t>No Cancer</t>
  </si>
  <si>
    <t>Total</t>
  </si>
  <si>
    <t>Smokers</t>
  </si>
  <si>
    <t>Non-Smokers</t>
  </si>
  <si>
    <t>Expected Frequencies</t>
  </si>
  <si>
    <t>Chi-Square</t>
  </si>
  <si>
    <t>Addition</t>
  </si>
  <si>
    <t>P-value</t>
  </si>
  <si>
    <r>
      <t xml:space="preserve">So there </t>
    </r>
    <r>
      <rPr>
        <b/>
        <sz val="12"/>
        <color theme="1"/>
        <rFont val="Calibri"/>
        <family val="2"/>
        <scheme val="minor"/>
      </rPr>
      <t>is a significant association</t>
    </r>
    <r>
      <rPr>
        <sz val="12"/>
        <color theme="1"/>
        <rFont val="Calibri"/>
        <family val="2"/>
        <scheme val="minor"/>
      </rPr>
      <t xml:space="preserve"> between </t>
    </r>
    <r>
      <rPr>
        <b/>
        <sz val="12"/>
        <color theme="1"/>
        <rFont val="Calibri"/>
        <family val="2"/>
        <scheme val="minor"/>
      </rPr>
      <t>smoking and cancer</t>
    </r>
  </si>
  <si>
    <t>S</t>
  </si>
  <si>
    <t>Since the P-Value is lesser then Alpha. Value So we reject Null Hypothesis.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</si>
</sst>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0000"/>
    <numFmt numFmtId="169" formatCode="0.000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1" fillId="0" borderId="2" xfId="0" applyFont="1" applyFill="1" applyBorder="1"/>
    <xf numFmtId="0" fontId="1" fillId="0" borderId="0" xfId="0" applyFont="1" applyFill="1" applyBorder="1"/>
    <xf numFmtId="168" fontId="0" fillId="0" borderId="0" xfId="0" applyNumberFormat="1"/>
    <xf numFmtId="168" fontId="0" fillId="0" borderId="1" xfId="0" applyNumberFormat="1" applyBorder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0" xfId="0" applyFont="1" applyFill="1"/>
    <xf numFmtId="0" fontId="1" fillId="5" borderId="0" xfId="0" applyFont="1" applyFill="1"/>
    <xf numFmtId="0" fontId="0" fillId="0" borderId="0" xfId="0" applyBorder="1"/>
    <xf numFmtId="0" fontId="0" fillId="3" borderId="1" xfId="0" applyFill="1" applyBorder="1"/>
    <xf numFmtId="0" fontId="1" fillId="2" borderId="1" xfId="0" applyFont="1" applyFill="1" applyBorder="1"/>
    <xf numFmtId="0" fontId="1" fillId="3" borderId="0" xfId="0" applyFont="1" applyFill="1"/>
    <xf numFmtId="169" fontId="1" fillId="0" borderId="0" xfId="0" applyNumberFormat="1" applyFont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9023-2AE4-5D40-B4F6-DC1076BEFB04}">
  <dimension ref="A2:AC41"/>
  <sheetViews>
    <sheetView tabSelected="1" workbookViewId="0">
      <selection activeCell="K33" sqref="K33"/>
    </sheetView>
  </sheetViews>
  <sheetFormatPr baseColWidth="10" defaultRowHeight="16" x14ac:dyDescent="0.2"/>
  <cols>
    <col min="2" max="2" width="9.5" customWidth="1"/>
    <col min="3" max="3" width="18.6640625" bestFit="1" customWidth="1"/>
    <col min="6" max="6" width="20.83203125" bestFit="1" customWidth="1"/>
    <col min="7" max="7" width="20.83203125" customWidth="1"/>
    <col min="8" max="8" width="12.1640625" bestFit="1" customWidth="1"/>
    <col min="9" max="9" width="20.83203125" bestFit="1" customWidth="1"/>
  </cols>
  <sheetData>
    <row r="2" spans="1:29" x14ac:dyDescent="0.2">
      <c r="A2" s="8" t="s">
        <v>0</v>
      </c>
      <c r="C2" s="2" t="s">
        <v>1</v>
      </c>
    </row>
    <row r="4" spans="1:29" x14ac:dyDescent="0.2">
      <c r="B4" s="9" t="s">
        <v>2</v>
      </c>
      <c r="C4" s="10">
        <v>89</v>
      </c>
      <c r="D4" s="9" t="s">
        <v>3</v>
      </c>
      <c r="E4" s="10">
        <v>4</v>
      </c>
      <c r="F4" s="9" t="s">
        <v>4</v>
      </c>
      <c r="G4" s="9"/>
      <c r="H4" s="10">
        <v>50</v>
      </c>
    </row>
    <row r="5" spans="1:29" x14ac:dyDescent="0.2">
      <c r="B5" s="9" t="s">
        <v>5</v>
      </c>
      <c r="C5" s="10">
        <v>82</v>
      </c>
      <c r="D5" s="9" t="s">
        <v>6</v>
      </c>
      <c r="E5" s="10">
        <v>9</v>
      </c>
      <c r="F5" s="9" t="s">
        <v>7</v>
      </c>
      <c r="G5" s="9"/>
      <c r="H5" s="10">
        <v>120</v>
      </c>
    </row>
    <row r="7" spans="1:29" x14ac:dyDescent="0.2">
      <c r="B7" s="12">
        <v>1</v>
      </c>
      <c r="C7" s="11" t="s">
        <v>22</v>
      </c>
    </row>
    <row r="8" spans="1:29" x14ac:dyDescent="0.2">
      <c r="E8" s="4" t="s">
        <v>8</v>
      </c>
      <c r="F8">
        <v>0.99749686716300023</v>
      </c>
      <c r="H8" s="12">
        <v>2</v>
      </c>
      <c r="I8" s="3" t="s">
        <v>14</v>
      </c>
      <c r="J8" s="3"/>
      <c r="K8" s="3" t="s">
        <v>15</v>
      </c>
      <c r="L8" s="13"/>
      <c r="M8" s="12">
        <v>3</v>
      </c>
      <c r="N8" s="11" t="s">
        <v>19</v>
      </c>
      <c r="O8" s="8" t="s">
        <v>20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">
      <c r="B9" s="8" t="s">
        <v>24</v>
      </c>
      <c r="C9" s="16" t="s">
        <v>23</v>
      </c>
      <c r="E9" s="1" t="s">
        <v>9</v>
      </c>
      <c r="F9">
        <v>7.0175658996391963</v>
      </c>
      <c r="I9" s="3">
        <v>7.0175658996391963</v>
      </c>
      <c r="J9" s="3" t="s">
        <v>17</v>
      </c>
      <c r="K9" s="3">
        <v>1.9742709570280526</v>
      </c>
      <c r="L9" s="1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">
      <c r="B10" s="8"/>
      <c r="C10" s="16"/>
      <c r="E10" s="1" t="s">
        <v>10</v>
      </c>
      <c r="F10">
        <v>168</v>
      </c>
      <c r="I10" s="3"/>
      <c r="J10" s="3"/>
      <c r="K10" s="3"/>
      <c r="L10" s="13"/>
      <c r="O10" s="8" t="s">
        <v>21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">
      <c r="B11" s="8" t="s">
        <v>25</v>
      </c>
      <c r="C11" s="16" t="s">
        <v>26</v>
      </c>
      <c r="E11" s="5" t="s">
        <v>11</v>
      </c>
      <c r="F11">
        <v>1.9742709570280526</v>
      </c>
      <c r="I11" s="3" t="s">
        <v>13</v>
      </c>
      <c r="J11" s="3"/>
      <c r="K11" s="3" t="s">
        <v>16</v>
      </c>
      <c r="L11" s="13"/>
    </row>
    <row r="12" spans="1:29" x14ac:dyDescent="0.2">
      <c r="E12" s="5" t="s">
        <v>13</v>
      </c>
      <c r="F12" s="6">
        <v>5.3171689273767697E-11</v>
      </c>
      <c r="G12" s="6"/>
      <c r="I12" s="7">
        <v>5.3171689273767697E-11</v>
      </c>
      <c r="J12" s="3" t="s">
        <v>18</v>
      </c>
      <c r="K12" s="3">
        <v>0.05</v>
      </c>
      <c r="L12" s="13"/>
    </row>
    <row r="13" spans="1:29" x14ac:dyDescent="0.2">
      <c r="E13" s="5" t="s">
        <v>12</v>
      </c>
      <c r="F13">
        <v>0.05</v>
      </c>
    </row>
    <row r="19" spans="1:6" x14ac:dyDescent="0.2">
      <c r="A19" s="8" t="s">
        <v>27</v>
      </c>
      <c r="C19" s="15" t="s">
        <v>28</v>
      </c>
      <c r="D19" s="15" t="s">
        <v>29</v>
      </c>
      <c r="E19" s="15" t="s">
        <v>30</v>
      </c>
      <c r="F19" s="15" t="s">
        <v>31</v>
      </c>
    </row>
    <row r="20" spans="1:6" x14ac:dyDescent="0.2">
      <c r="C20" s="15" t="s">
        <v>32</v>
      </c>
      <c r="D20" s="14">
        <v>220</v>
      </c>
      <c r="E20" s="14">
        <v>230</v>
      </c>
      <c r="F20" s="14">
        <v>550</v>
      </c>
    </row>
    <row r="21" spans="1:6" x14ac:dyDescent="0.2">
      <c r="C21" s="15" t="s">
        <v>33</v>
      </c>
      <c r="D21" s="14">
        <v>350</v>
      </c>
      <c r="E21" s="14">
        <v>640</v>
      </c>
      <c r="F21" s="14">
        <v>990</v>
      </c>
    </row>
    <row r="22" spans="1:6" x14ac:dyDescent="0.2">
      <c r="C22" s="15" t="s">
        <v>31</v>
      </c>
      <c r="D22" s="14">
        <v>680</v>
      </c>
      <c r="E22" s="14">
        <v>910</v>
      </c>
      <c r="F22" s="14">
        <v>1590</v>
      </c>
    </row>
    <row r="25" spans="1:6" x14ac:dyDescent="0.2">
      <c r="C25" s="3" t="s">
        <v>34</v>
      </c>
      <c r="D25" s="15" t="s">
        <v>29</v>
      </c>
      <c r="E25" s="15" t="s">
        <v>30</v>
      </c>
    </row>
    <row r="26" spans="1:6" x14ac:dyDescent="0.2">
      <c r="C26" s="15" t="s">
        <v>32</v>
      </c>
      <c r="D26" s="3">
        <f>(550*680)/1590</f>
        <v>235.22012578616352</v>
      </c>
      <c r="E26" s="3">
        <f>(990*680)/1590</f>
        <v>423.39622641509436</v>
      </c>
    </row>
    <row r="27" spans="1:6" x14ac:dyDescent="0.2">
      <c r="C27" s="15" t="s">
        <v>33</v>
      </c>
      <c r="D27" s="3">
        <f>(550*910)/1590</f>
        <v>314.77987421383648</v>
      </c>
      <c r="E27" s="3">
        <f>(990*910)/1590</f>
        <v>566.60377358490564</v>
      </c>
    </row>
    <row r="30" spans="1:6" x14ac:dyDescent="0.2">
      <c r="C30" s="3" t="s">
        <v>35</v>
      </c>
      <c r="D30" s="15" t="s">
        <v>29</v>
      </c>
      <c r="E30" s="15" t="s">
        <v>30</v>
      </c>
    </row>
    <row r="31" spans="1:6" x14ac:dyDescent="0.2">
      <c r="C31" s="15" t="s">
        <v>32</v>
      </c>
      <c r="D31" s="3">
        <v>0.98481591701385918</v>
      </c>
      <c r="E31" s="3">
        <v>22.833820267782531</v>
      </c>
    </row>
    <row r="32" spans="1:6" x14ac:dyDescent="0.2">
      <c r="C32" s="15" t="s">
        <v>33</v>
      </c>
      <c r="D32" s="3">
        <v>3.9407133746756386</v>
      </c>
      <c r="E32" s="3">
        <v>9.5075364886685705</v>
      </c>
    </row>
    <row r="35" spans="2:9" x14ac:dyDescent="0.2">
      <c r="B35" s="2" t="s">
        <v>36</v>
      </c>
      <c r="C35" s="1">
        <f>D31+E31+D32+E32</f>
        <v>37.266886048140599</v>
      </c>
      <c r="E35" s="3" t="s">
        <v>13</v>
      </c>
      <c r="F35" s="3"/>
      <c r="G35" s="3" t="s">
        <v>16</v>
      </c>
      <c r="I35" t="s">
        <v>39</v>
      </c>
    </row>
    <row r="36" spans="2:9" x14ac:dyDescent="0.2">
      <c r="E36" s="18">
        <f>C39</f>
        <v>1.4093230024020717E-7</v>
      </c>
      <c r="F36" s="3" t="s">
        <v>18</v>
      </c>
      <c r="G36" s="3">
        <v>0.05</v>
      </c>
    </row>
    <row r="37" spans="2:9" x14ac:dyDescent="0.2">
      <c r="B37" s="2" t="s">
        <v>10</v>
      </c>
      <c r="C37" s="1">
        <v>1</v>
      </c>
    </row>
    <row r="39" spans="2:9" x14ac:dyDescent="0.2">
      <c r="B39" s="2" t="s">
        <v>37</v>
      </c>
      <c r="C39" s="17">
        <f>_xlfn.CHISQ.DIST.RT(27.71, 1)</f>
        <v>1.4093230024020717E-7</v>
      </c>
    </row>
    <row r="40" spans="2:9" x14ac:dyDescent="0.2">
      <c r="E40" s="11" t="s">
        <v>19</v>
      </c>
      <c r="F40" s="8" t="s">
        <v>40</v>
      </c>
      <c r="G40" s="8"/>
      <c r="H40" s="8"/>
      <c r="I40" s="8"/>
    </row>
    <row r="41" spans="2:9" x14ac:dyDescent="0.2">
      <c r="B41" s="2" t="s">
        <v>16</v>
      </c>
      <c r="C41" s="1">
        <v>0.05</v>
      </c>
      <c r="F41" s="8" t="s">
        <v>38</v>
      </c>
      <c r="G41" s="8"/>
      <c r="H4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2025-07-22T08:17:40Z</dcterms:created>
  <dcterms:modified xsi:type="dcterms:W3CDTF">2025-07-27T19:43:34Z</dcterms:modified>
</cp:coreProperties>
</file>